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20" windowWidth="19875" windowHeight="7650" tabRatio="594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D16" i="1" l="1"/>
  <c r="D14" i="1" l="1"/>
  <c r="D13" i="1" l="1"/>
  <c r="D11" i="1" l="1"/>
  <c r="D10" i="1" l="1"/>
  <c r="D12" i="1" l="1"/>
  <c r="E8" i="1" l="1"/>
  <c r="E7" i="1"/>
  <c r="E6" i="1"/>
</calcChain>
</file>

<file path=xl/sharedStrings.xml><?xml version="1.0" encoding="utf-8"?>
<sst xmlns="http://schemas.openxmlformats.org/spreadsheetml/2006/main" count="44" uniqueCount="18">
  <si>
    <t>Equity Share</t>
  </si>
  <si>
    <t>Internal Sources</t>
  </si>
  <si>
    <t>as on 31.03.2018</t>
  </si>
  <si>
    <t>as on 31.03.2019</t>
  </si>
  <si>
    <t>as on 31.03.2020</t>
  </si>
  <si>
    <t>Cumulative</t>
  </si>
  <si>
    <t>Disbursement</t>
  </si>
  <si>
    <t>Equity Support Vs Cumulative Disbursement</t>
  </si>
  <si>
    <t>(Rs. in Crore)</t>
  </si>
  <si>
    <t>Equity Support</t>
  </si>
  <si>
    <t xml:space="preserve"> </t>
  </si>
  <si>
    <t>as on 31.03.2021</t>
  </si>
  <si>
    <t>as on 31.03.2022</t>
  </si>
  <si>
    <t>as on 31.03.2023</t>
  </si>
  <si>
    <t>as on 31.03.2024</t>
  </si>
  <si>
    <t>as on 31.03.2025</t>
  </si>
  <si>
    <t>as on 31.03.2026</t>
  </si>
  <si>
    <t>as on 31.07.2026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</si>
</sst>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2" fontId="0" fillId="0" borderId="1" xfId="0" applyNumberFormat="1" applyBorder="1"/>
    <xf numFmtId="0" fontId="0" fillId="0" borderId="5" xfId="0" applyBorder="1"/>
    <xf numFmtId="2" fontId="0" fillId="0" borderId="6" xfId="0" applyNumberFormat="1" applyBorder="1"/>
    <xf numFmtId="0" fontId="0" fillId="0" borderId="7" xfId="0" applyBorder="1"/>
    <xf numFmtId="2" fontId="0" fillId="0" borderId="8" xfId="0" applyNumberFormat="1" applyBorder="1"/>
    <xf numFmtId="0" fontId="1" fillId="0" borderId="2" xfId="0" applyFont="1" applyBorder="1"/>
    <xf numFmtId="0" fontId="1" fillId="0" borderId="4" xfId="0" applyFont="1" applyBorder="1" applyAlignment="1">
      <alignment horizontal="right"/>
    </xf>
    <xf numFmtId="0" fontId="1" fillId="0" borderId="0" xfId="0" applyFont="1"/>
    <xf numFmtId="0" fontId="2" fillId="0" borderId="0" xfId="0" applyFont="1"/>
    <xf numFmtId="2" fontId="0" fillId="0" borderId="0" xfId="0" applyNumberFormat="1"/>
    <xf numFmtId="0" fontId="0" fillId="0" borderId="6" xfId="0" applyBorder="1"/>
    <xf numFmtId="0" fontId="0" fillId="0" borderId="2" xfId="0" applyBorder="1"/>
    <xf numFmtId="2" fontId="0" fillId="0" borderId="3" xfId="0" applyNumberFormat="1" applyBorder="1"/>
    <xf numFmtId="2" fontId="0" fillId="0" borderId="4" xfId="0" applyNumberFormat="1" applyBorder="1"/>
    <xf numFmtId="0" fontId="1" fillId="0" borderId="10" xfId="0" applyFont="1" applyBorder="1"/>
    <xf numFmtId="0" fontId="1" fillId="0" borderId="11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0" fillId="0" borderId="1" xfId="0" applyBorder="1"/>
    <xf numFmtId="2" fontId="0" fillId="0" borderId="9" xfId="0" applyNumberFormat="1" applyBorder="1"/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8"/>
  <sheetViews>
    <sheetView tabSelected="1" workbookViewId="0">
      <selection activeCell="G23" sqref="G23"/>
    </sheetView>
  </sheetViews>
  <sheetFormatPr defaultRowHeight="15" x14ac:dyDescent="0.25"/>
  <cols>
    <col min="2" max="2" width="17.5703125" customWidth="1"/>
    <col min="3" max="3" width="15.28515625" customWidth="1"/>
    <col min="4" max="4" width="15.42578125" bestFit="1" customWidth="1"/>
    <col min="5" max="5" width="23" customWidth="1"/>
    <col min="7" max="7" width="11" bestFit="1" customWidth="1"/>
  </cols>
  <sheetData>
    <row r="2" spans="2:10" ht="18.75" x14ac:dyDescent="0.3">
      <c r="B2" s="9" t="s">
        <v>7</v>
      </c>
    </row>
    <row r="3" spans="2:10" ht="15.75" thickBot="1" x14ac:dyDescent="0.3">
      <c r="E3" s="8" t="s">
        <v>8</v>
      </c>
    </row>
    <row r="4" spans="2:10" x14ac:dyDescent="0.25">
      <c r="B4" s="6"/>
      <c r="C4" s="20" t="s">
        <v>9</v>
      </c>
      <c r="D4" s="20"/>
      <c r="E4" s="7" t="s">
        <v>5</v>
      </c>
    </row>
    <row r="5" spans="2:10" ht="15.75" thickBot="1" x14ac:dyDescent="0.3">
      <c r="B5" s="15"/>
      <c r="C5" s="16" t="s">
        <v>0</v>
      </c>
      <c r="D5" s="16" t="s">
        <v>1</v>
      </c>
      <c r="E5" s="17" t="s">
        <v>6</v>
      </c>
    </row>
    <row r="6" spans="2:10" ht="24.95" customHeight="1" x14ac:dyDescent="0.25">
      <c r="B6" s="12" t="s">
        <v>2</v>
      </c>
      <c r="C6" s="13">
        <v>1348.01</v>
      </c>
      <c r="D6" s="13">
        <v>3130.67</v>
      </c>
      <c r="E6" s="14">
        <f>SUM(C6:D6)</f>
        <v>4478.68</v>
      </c>
    </row>
    <row r="7" spans="2:10" ht="24.95" customHeight="1" x14ac:dyDescent="0.25">
      <c r="B7" s="2" t="s">
        <v>3</v>
      </c>
      <c r="C7" s="1">
        <v>1485.4</v>
      </c>
      <c r="D7" s="1">
        <v>3664.49</v>
      </c>
      <c r="E7" s="3">
        <f t="shared" ref="E7:E8" si="0">SUM(C7:D7)</f>
        <v>5149.8899999999994</v>
      </c>
    </row>
    <row r="8" spans="2:10" ht="24.95" customHeight="1" x14ac:dyDescent="0.25">
      <c r="B8" s="2" t="s">
        <v>4</v>
      </c>
      <c r="C8" s="1">
        <v>1500</v>
      </c>
      <c r="D8" s="1">
        <v>4331.3999999999996</v>
      </c>
      <c r="E8" s="3">
        <f t="shared" si="0"/>
        <v>5831.4</v>
      </c>
    </row>
    <row r="9" spans="2:10" ht="24.95" customHeight="1" x14ac:dyDescent="0.25">
      <c r="B9" s="2" t="s">
        <v>11</v>
      </c>
      <c r="C9" s="1">
        <v>1500</v>
      </c>
      <c r="D9" s="1">
        <v>4879.63</v>
      </c>
      <c r="E9" s="3">
        <v>6379.63</v>
      </c>
    </row>
    <row r="10" spans="2:10" ht="24.95" customHeight="1" x14ac:dyDescent="0.25">
      <c r="B10" s="2" t="s">
        <v>12</v>
      </c>
      <c r="C10" s="1">
        <v>1500</v>
      </c>
      <c r="D10" s="1">
        <f>+E10-C10</f>
        <v>5451.64</v>
      </c>
      <c r="E10" s="11">
        <v>6951.64</v>
      </c>
    </row>
    <row r="11" spans="2:10" ht="24.95" customHeight="1" x14ac:dyDescent="0.25">
      <c r="B11" s="2" t="s">
        <v>13</v>
      </c>
      <c r="C11" s="1">
        <v>1500</v>
      </c>
      <c r="D11" s="1">
        <f>+E11-C11</f>
        <v>6087.58</v>
      </c>
      <c r="E11" s="11">
        <v>7587.58</v>
      </c>
    </row>
    <row r="12" spans="2:10" ht="24.95" customHeight="1" x14ac:dyDescent="0.25">
      <c r="B12" s="2" t="s">
        <v>14</v>
      </c>
      <c r="C12" s="1">
        <v>1515</v>
      </c>
      <c r="D12" s="1">
        <f>+E12-C12</f>
        <v>6787.0400000000009</v>
      </c>
      <c r="E12" s="11">
        <v>8302.0400000000009</v>
      </c>
      <c r="G12" t="s">
        <v>10</v>
      </c>
      <c r="H12" t="s">
        <v>10</v>
      </c>
      <c r="I12" t="s">
        <v>10</v>
      </c>
      <c r="J12" t="s">
        <v>10</v>
      </c>
    </row>
    <row r="13" spans="2:10" ht="24.95" customHeight="1" x14ac:dyDescent="0.25">
      <c r="B13" s="2" t="s">
        <v>15</v>
      </c>
      <c r="C13" s="1">
        <v>1515</v>
      </c>
      <c r="D13" s="1">
        <f>+E13-C13</f>
        <v>7398.82</v>
      </c>
      <c r="E13" s="3">
        <v>8913.82</v>
      </c>
      <c r="G13" t="s">
        <v>10</v>
      </c>
      <c r="H13" t="s">
        <v>10</v>
      </c>
      <c r="I13" t="s">
        <v>10</v>
      </c>
      <c r="J13" t="s">
        <v>10</v>
      </c>
    </row>
    <row r="14" spans="2:10" ht="25.5" customHeight="1" x14ac:dyDescent="0.25">
      <c r="B14" s="2" t="s">
        <v>16</v>
      </c>
      <c r="C14" s="1">
        <v>1515</v>
      </c>
      <c r="D14" s="1">
        <f>+E14-C14</f>
        <v>8174.08</v>
      </c>
      <c r="E14" s="3">
        <v>9689.08</v>
      </c>
      <c r="H14" t="s">
        <v>10</v>
      </c>
    </row>
    <row r="15" spans="2:10" x14ac:dyDescent="0.25">
      <c r="B15" s="2"/>
      <c r="C15" s="18"/>
      <c r="D15" s="18"/>
      <c r="E15" s="3" t="s">
        <v>10</v>
      </c>
      <c r="F15" t="s">
        <v>10</v>
      </c>
      <c r="G15" t="s">
        <v>10</v>
      </c>
      <c r="H15" t="s">
        <v>10</v>
      </c>
    </row>
    <row r="16" spans="2:10" ht="15.75" thickBot="1" x14ac:dyDescent="0.3">
      <c r="B16" s="4" t="s">
        <v>17</v>
      </c>
      <c r="C16" s="5">
        <v>1515</v>
      </c>
      <c r="D16" s="5">
        <f>+E16-C16</f>
        <v>8251.41</v>
      </c>
      <c r="E16" s="19">
        <v>9766.41</v>
      </c>
      <c r="F16" s="10" t="s">
        <v>10</v>
      </c>
      <c r="G16" s="10" t="s">
        <v>10</v>
      </c>
      <c r="H16" s="10"/>
    </row>
    <row r="17" spans="3:9" x14ac:dyDescent="0.25">
      <c r="D17" t="s">
        <v>10</v>
      </c>
      <c r="E17" s="10" t="s">
        <v>10</v>
      </c>
      <c r="F17" s="10" t="s">
        <v>10</v>
      </c>
      <c r="G17" t="s">
        <v>10</v>
      </c>
    </row>
    <row r="18" spans="3:9" x14ac:dyDescent="0.25">
      <c r="E18" s="10" t="s">
        <v>10</v>
      </c>
      <c r="G18" t="s">
        <v>10</v>
      </c>
      <c r="H18" t="s">
        <v>10</v>
      </c>
    </row>
    <row r="19" spans="3:9" x14ac:dyDescent="0.25">
      <c r="C19" t="s">
        <v>10</v>
      </c>
      <c r="E19" s="10" t="s">
        <v>10</v>
      </c>
    </row>
    <row r="20" spans="3:9" x14ac:dyDescent="0.25">
      <c r="E20" s="10"/>
    </row>
    <row r="21" spans="3:9" x14ac:dyDescent="0.25">
      <c r="E21" s="10"/>
    </row>
    <row r="22" spans="3:9" x14ac:dyDescent="0.25">
      <c r="E22" s="10" t="s">
        <v>10</v>
      </c>
      <c r="G22" t="s">
        <v>10</v>
      </c>
      <c r="I22" s="10"/>
    </row>
    <row r="23" spans="3:9" x14ac:dyDescent="0.25">
      <c r="E23" s="10" t="s">
        <v>10</v>
      </c>
    </row>
    <row r="24" spans="3:9" x14ac:dyDescent="0.25">
      <c r="E24" s="10"/>
    </row>
    <row r="25" spans="3:9" x14ac:dyDescent="0.25">
      <c r="E25" s="10"/>
    </row>
    <row r="26" spans="3:9" x14ac:dyDescent="0.25">
      <c r="E26" s="10"/>
    </row>
    <row r="27" spans="3:9" x14ac:dyDescent="0.25">
      <c r="E27" s="10"/>
    </row>
    <row r="28" spans="3:9" x14ac:dyDescent="0.25">
      <c r="E28" s="10"/>
    </row>
    <row r="29" spans="3:9" x14ac:dyDescent="0.25">
      <c r="E29" s="10"/>
    </row>
    <row r="30" spans="3:9" x14ac:dyDescent="0.25">
      <c r="E30" s="10"/>
    </row>
    <row r="31" spans="3:9" x14ac:dyDescent="0.25">
      <c r="E31" s="10"/>
    </row>
    <row r="32" spans="3:9" x14ac:dyDescent="0.25">
      <c r="E32" s="10"/>
    </row>
    <row r="33" spans="5:5" x14ac:dyDescent="0.25">
      <c r="E33" s="10"/>
    </row>
    <row r="34" spans="5:5" x14ac:dyDescent="0.25">
      <c r="E34" s="10"/>
    </row>
    <row r="35" spans="5:5" x14ac:dyDescent="0.25">
      <c r="E35" s="10"/>
    </row>
    <row r="36" spans="5:5" x14ac:dyDescent="0.25">
      <c r="E36" s="10"/>
    </row>
    <row r="37" spans="5:5" x14ac:dyDescent="0.25">
      <c r="E37" s="10"/>
    </row>
    <row r="38" spans="5:5" x14ac:dyDescent="0.25">
      <c r="E38" s="10"/>
    </row>
  </sheetData>
  <mergeCells count="1">
    <mergeCell ref="C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dcterms:created xsi:type="dcterms:W3CDTF">2021-01-18T10:40:19Z</dcterms:created>
  <dcterms:modified xsi:type="dcterms:W3CDTF">2026-08-11T09:12:03Z</dcterms:modified>
</cp:coreProperties>
</file>